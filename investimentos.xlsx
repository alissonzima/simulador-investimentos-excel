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20610" yWindow="630" windowWidth="20730" windowHeight="11760" tabRatio="345"/>
  </bookViews>
  <sheets>
    <sheet name="Plan1" sheetId="3" r:id="rId1"/>
  </sheets>
  <definedNames>
    <definedName name="aporte">Plan1!$E$6</definedName>
    <definedName name="caixinha">Plan1!$E$15</definedName>
    <definedName name="fii">Plan1!$E$16</definedName>
    <definedName name="ideal">Plan1!$E$8</definedName>
    <definedName name="patrimonio">#REF!</definedName>
    <definedName name="qtd_anos">#REF!</definedName>
    <definedName name="rendimento_carteira">#REF!</definedName>
    <definedName name="salario">Plan1!$E$5</definedName>
    <definedName name="sugestao_investimento">#REF!</definedName>
    <definedName name="taxa_mensal">#REF!</definedName>
    <definedName name="tesouro">Plan1!$E$14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/>
  <c r="D28" s="1"/>
  <c r="E28" s="1"/>
  <c r="E16"/>
  <c r="D36" s="1"/>
  <c r="E36" s="1"/>
  <c r="E14"/>
  <c r="E8"/>
  <c r="E9" s="1"/>
  <c r="E7"/>
  <c r="D34" l="1"/>
  <c r="E34" s="1"/>
  <c r="D35"/>
  <c r="E35" s="1"/>
  <c r="D24"/>
  <c r="E24" s="1"/>
  <c r="D37"/>
  <c r="E37" s="1"/>
  <c r="D23"/>
  <c r="E23" s="1"/>
  <c r="D25"/>
  <c r="E25" s="1"/>
  <c r="D29"/>
  <c r="E29" s="1"/>
  <c r="D30"/>
  <c r="E30" s="1"/>
  <c r="D31"/>
  <c r="E31" s="1"/>
  <c r="D22"/>
  <c r="E22" s="1"/>
</calcChain>
</file>

<file path=xl/sharedStrings.xml><?xml version="1.0" encoding="utf-8"?>
<sst xmlns="http://schemas.openxmlformats.org/spreadsheetml/2006/main" count="29" uniqueCount="21">
  <si>
    <t>Salário</t>
  </si>
  <si>
    <t>Correspondência</t>
  </si>
  <si>
    <t>FIIs</t>
  </si>
  <si>
    <t>Ideal</t>
  </si>
  <si>
    <t>Possibilidade de investimento</t>
  </si>
  <si>
    <t>Investimento</t>
  </si>
  <si>
    <t>CONFIGURAÇÃO</t>
  </si>
  <si>
    <t>Caixinha 115% CDI</t>
  </si>
  <si>
    <t>Títulos do tesouro direto SELIC</t>
  </si>
  <si>
    <t>% rendimento mensal</t>
  </si>
  <si>
    <t>Restante para ideal</t>
  </si>
  <si>
    <t>Patrimônio em 2 anos</t>
  </si>
  <si>
    <t>Patrimônio em 5 anos</t>
  </si>
  <si>
    <t>Patrimônio em 10 anos</t>
  </si>
  <si>
    <t>Patrimônio em 20 anos</t>
  </si>
  <si>
    <t>FII</t>
  </si>
  <si>
    <t>CENÁRIOS</t>
  </si>
  <si>
    <t>TESOURO - SELIC</t>
  </si>
  <si>
    <t>Dividendos</t>
  </si>
  <si>
    <t>115% CDI</t>
  </si>
  <si>
    <t>TIPOS DE INVESTIMENTO</t>
  </si>
</sst>
</file>

<file path=xl/styles.xml><?xml version="1.0" encoding="utf-8"?>
<styleSheet xmlns="http://schemas.openxmlformats.org/spreadsheetml/2006/main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theme="0"/>
      </left>
      <right style="dashed">
        <color theme="0"/>
      </right>
      <top style="medium">
        <color theme="4" tint="0.39997558519241921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thin">
        <color rgb="FF7F7F7F"/>
      </top>
      <bottom style="dashed">
        <color theme="0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dashed">
        <color theme="0"/>
      </right>
      <top style="thin">
        <color rgb="FF7F7F7F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thin">
        <color rgb="FF7F7F7F"/>
      </top>
      <bottom style="dashed">
        <color theme="2"/>
      </bottom>
      <diagonal/>
    </border>
    <border>
      <left style="medium">
        <color indexed="64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dashed">
        <color theme="2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dashed">
        <color theme="0"/>
      </top>
      <bottom style="dashed">
        <color theme="0"/>
      </bottom>
      <diagonal/>
    </border>
    <border>
      <left style="medium">
        <color indexed="64"/>
      </left>
      <right style="dashed">
        <color theme="0"/>
      </right>
      <top style="dashed">
        <color theme="0"/>
      </top>
      <bottom style="medium">
        <color indexed="64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medium">
        <color indexed="64"/>
      </bottom>
      <diagonal/>
    </border>
    <border>
      <left style="dashed">
        <color theme="0"/>
      </left>
      <right style="medium">
        <color indexed="64"/>
      </right>
      <top style="dashed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theme="4" tint="0.39997558519241921"/>
      </bottom>
      <diagonal/>
    </border>
    <border>
      <left style="medium">
        <color indexed="64"/>
      </left>
      <right style="dashed">
        <color theme="0"/>
      </right>
      <top style="medium">
        <color theme="4" tint="0.39997558519241921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medium">
        <color theme="4" tint="0.39997558519241921"/>
      </top>
      <bottom style="dashed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0.39997558519241921"/>
      </bottom>
      <diagonal/>
    </border>
    <border>
      <left style="medium">
        <color indexed="64"/>
      </left>
      <right style="dashed">
        <color theme="2"/>
      </right>
      <top style="medium">
        <color theme="4" tint="0.39997558519241921"/>
      </top>
      <bottom style="dashed">
        <color theme="2"/>
      </bottom>
      <diagonal/>
    </border>
    <border>
      <left style="dashed">
        <color theme="2"/>
      </left>
      <right style="dashed">
        <color theme="2"/>
      </right>
      <top style="medium">
        <color theme="4" tint="0.39997558519241921"/>
      </top>
      <bottom style="dashed">
        <color theme="2"/>
      </bottom>
      <diagonal/>
    </border>
    <border>
      <left style="dashed">
        <color theme="2"/>
      </left>
      <right style="medium">
        <color indexed="64"/>
      </right>
      <top style="medium">
        <color theme="4" tint="0.39997558519241921"/>
      </top>
      <bottom style="dashed">
        <color theme="2"/>
      </bottom>
      <diagonal/>
    </border>
    <border>
      <left style="medium">
        <color indexed="64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medium">
        <color indexed="64"/>
      </right>
      <top style="dashed">
        <color theme="2"/>
      </top>
      <bottom style="dashed">
        <color theme="2"/>
      </bottom>
      <diagonal/>
    </border>
    <border>
      <left style="medium">
        <color indexed="64"/>
      </left>
      <right style="dashed">
        <color theme="2"/>
      </right>
      <top style="dashed">
        <color theme="2"/>
      </top>
      <bottom style="medium">
        <color indexed="64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medium">
        <color indexed="64"/>
      </bottom>
      <diagonal/>
    </border>
    <border>
      <left style="dashed">
        <color theme="2"/>
      </left>
      <right style="medium">
        <color indexed="64"/>
      </right>
      <top style="dashed">
        <color theme="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2" tint="-0.24994659260841701"/>
      </bottom>
      <diagonal/>
    </border>
    <border>
      <left/>
      <right/>
      <top style="medium">
        <color indexed="64"/>
      </top>
      <bottom style="medium">
        <color theme="2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2" tint="-0.24994659260841701"/>
      </bottom>
      <diagonal/>
    </border>
    <border>
      <left style="medium">
        <color indexed="64"/>
      </left>
      <right/>
      <top style="medium">
        <color theme="2" tint="-0.24994659260841701"/>
      </top>
      <bottom style="medium">
        <color theme="4" tint="0.39997558519241921"/>
      </bottom>
      <diagonal/>
    </border>
    <border>
      <left/>
      <right style="medium">
        <color theme="0"/>
      </right>
      <top style="medium">
        <color theme="2" tint="-0.24994659260841701"/>
      </top>
      <bottom style="medium">
        <color theme="4" tint="0.39997558519241921"/>
      </bottom>
      <diagonal/>
    </border>
    <border>
      <left style="medium">
        <color indexed="64"/>
      </left>
      <right style="medium">
        <color theme="7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theme="7" tint="0.39994506668294322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2" applyNumberFormat="0" applyAlignment="0" applyProtection="0"/>
  </cellStyleXfs>
  <cellXfs count="48">
    <xf numFmtId="0" fontId="0" fillId="0" borderId="0" xfId="0"/>
    <xf numFmtId="0" fontId="2" fillId="0" borderId="0" xfId="0" applyFont="1"/>
    <xf numFmtId="9" fontId="0" fillId="0" borderId="0" xfId="0" applyNumberFormat="1"/>
    <xf numFmtId="164" fontId="0" fillId="0" borderId="0" xfId="1" applyNumberFormat="1" applyFont="1"/>
    <xf numFmtId="8" fontId="0" fillId="0" borderId="0" xfId="0" applyNumberFormat="1"/>
    <xf numFmtId="0" fontId="5" fillId="3" borderId="6" xfId="5" applyBorder="1" applyAlignment="1">
      <alignment horizontal="center" vertical="center"/>
    </xf>
    <xf numFmtId="0" fontId="5" fillId="3" borderId="7" xfId="5" applyBorder="1" applyAlignment="1">
      <alignment horizontal="center" vertical="center"/>
    </xf>
    <xf numFmtId="0" fontId="5" fillId="3" borderId="8" xfId="5" applyBorder="1" applyAlignment="1">
      <alignment horizontal="center" vertical="center"/>
    </xf>
    <xf numFmtId="0" fontId="3" fillId="5" borderId="17" xfId="3" applyFill="1" applyBorder="1" applyAlignment="1">
      <alignment horizontal="center" vertical="center"/>
    </xf>
    <xf numFmtId="0" fontId="3" fillId="0" borderId="20" xfId="3" applyBorder="1" applyAlignment="1">
      <alignment horizontal="center"/>
    </xf>
    <xf numFmtId="0" fontId="3" fillId="0" borderId="21" xfId="3" applyBorder="1" applyAlignment="1">
      <alignment horizontal="center"/>
    </xf>
    <xf numFmtId="0" fontId="3" fillId="0" borderId="22" xfId="3" applyBorder="1" applyAlignment="1">
      <alignment horizontal="center"/>
    </xf>
    <xf numFmtId="0" fontId="4" fillId="6" borderId="0" xfId="4" applyFill="1" applyBorder="1" applyAlignment="1">
      <alignment horizontal="center" vertical="center"/>
    </xf>
    <xf numFmtId="0" fontId="0" fillId="6" borderId="0" xfId="0" applyFill="1" applyBorder="1"/>
    <xf numFmtId="0" fontId="2" fillId="6" borderId="0" xfId="0" applyFont="1" applyFill="1" applyBorder="1"/>
    <xf numFmtId="0" fontId="0" fillId="4" borderId="23" xfId="0" applyFill="1" applyBorder="1"/>
    <xf numFmtId="8" fontId="0" fillId="4" borderId="24" xfId="0" applyNumberFormat="1" applyFill="1" applyBorder="1"/>
    <xf numFmtId="8" fontId="0" fillId="4" borderId="25" xfId="0" applyNumberFormat="1" applyFill="1" applyBorder="1"/>
    <xf numFmtId="0" fontId="0" fillId="4" borderId="26" xfId="0" applyFill="1" applyBorder="1"/>
    <xf numFmtId="8" fontId="0" fillId="4" borderId="27" xfId="0" applyNumberFormat="1" applyFill="1" applyBorder="1"/>
    <xf numFmtId="8" fontId="0" fillId="4" borderId="28" xfId="0" applyNumberFormat="1" applyFill="1" applyBorder="1"/>
    <xf numFmtId="0" fontId="0" fillId="4" borderId="29" xfId="0" applyFill="1" applyBorder="1"/>
    <xf numFmtId="8" fontId="0" fillId="4" borderId="30" xfId="0" applyNumberFormat="1" applyFill="1" applyBorder="1"/>
    <xf numFmtId="8" fontId="0" fillId="4" borderId="31" xfId="0" applyNumberFormat="1" applyFill="1" applyBorder="1"/>
    <xf numFmtId="164" fontId="0" fillId="0" borderId="10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9" fontId="0" fillId="5" borderId="13" xfId="2" applyNumberFormat="1" applyFont="1" applyFill="1" applyBorder="1" applyAlignment="1">
      <alignment horizontal="center" vertical="center"/>
    </xf>
    <xf numFmtId="164" fontId="0" fillId="5" borderId="13" xfId="1" applyNumberFormat="1" applyFont="1" applyFill="1" applyBorder="1" applyAlignment="1">
      <alignment horizontal="center" vertical="center"/>
    </xf>
    <xf numFmtId="164" fontId="0" fillId="5" borderId="16" xfId="1" applyNumberFormat="1" applyFont="1" applyFill="1" applyBorder="1" applyAlignment="1">
      <alignment horizontal="center" vertical="center"/>
    </xf>
    <xf numFmtId="10" fontId="0" fillId="5" borderId="19" xfId="0" applyNumberFormat="1" applyFill="1" applyBorder="1" applyAlignment="1">
      <alignment horizontal="center" vertical="center"/>
    </xf>
    <xf numFmtId="10" fontId="0" fillId="5" borderId="13" xfId="0" applyNumberFormat="1" applyFill="1" applyBorder="1" applyAlignment="1">
      <alignment horizontal="center" vertical="center"/>
    </xf>
    <xf numFmtId="9" fontId="0" fillId="5" borderId="16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left" indent="3"/>
    </xf>
    <xf numFmtId="0" fontId="0" fillId="5" borderId="5" xfId="0" applyFill="1" applyBorder="1" applyAlignment="1">
      <alignment horizontal="left" indent="3"/>
    </xf>
    <xf numFmtId="0" fontId="0" fillId="5" borderId="11" xfId="0" applyFill="1" applyBorder="1" applyAlignment="1">
      <alignment horizontal="left" indent="3"/>
    </xf>
    <xf numFmtId="0" fontId="0" fillId="5" borderId="4" xfId="0" applyFill="1" applyBorder="1" applyAlignment="1">
      <alignment horizontal="left" indent="3"/>
    </xf>
    <xf numFmtId="0" fontId="0" fillId="5" borderId="14" xfId="0" applyFill="1" applyBorder="1" applyAlignment="1">
      <alignment horizontal="left" indent="3"/>
    </xf>
    <xf numFmtId="0" fontId="0" fillId="5" borderId="15" xfId="0" applyFill="1" applyBorder="1" applyAlignment="1">
      <alignment horizontal="left" indent="3"/>
    </xf>
    <xf numFmtId="0" fontId="0" fillId="5" borderId="18" xfId="0" applyFill="1" applyBorder="1" applyAlignment="1">
      <alignment horizontal="left" indent="3"/>
    </xf>
    <xf numFmtId="0" fontId="0" fillId="5" borderId="3" xfId="0" applyFill="1" applyBorder="1" applyAlignment="1">
      <alignment horizontal="left" indent="3"/>
    </xf>
    <xf numFmtId="0" fontId="3" fillId="5" borderId="35" xfId="3" applyFill="1" applyBorder="1" applyAlignment="1">
      <alignment horizontal="center" vertical="center"/>
    </xf>
    <xf numFmtId="0" fontId="0" fillId="0" borderId="36" xfId="0" applyBorder="1"/>
    <xf numFmtId="0" fontId="6" fillId="7" borderId="32" xfId="4" applyFont="1" applyFill="1" applyBorder="1" applyAlignment="1">
      <alignment horizontal="center" vertical="center"/>
    </xf>
    <xf numFmtId="0" fontId="6" fillId="7" borderId="33" xfId="4" applyFont="1" applyFill="1" applyBorder="1" applyAlignment="1">
      <alignment horizontal="center" vertical="center"/>
    </xf>
    <xf numFmtId="0" fontId="6" fillId="7" borderId="34" xfId="4" applyFont="1" applyFill="1" applyBorder="1" applyAlignment="1">
      <alignment horizontal="center" vertical="center"/>
    </xf>
    <xf numFmtId="0" fontId="6" fillId="7" borderId="37" xfId="4" applyFont="1" applyFill="1" applyBorder="1" applyAlignment="1">
      <alignment horizontal="center" vertical="center"/>
    </xf>
    <xf numFmtId="0" fontId="6" fillId="7" borderId="38" xfId="4" applyFont="1" applyFill="1" applyBorder="1" applyAlignment="1">
      <alignment horizontal="center" vertical="center"/>
    </xf>
    <xf numFmtId="0" fontId="6" fillId="7" borderId="39" xfId="4" applyFont="1" applyFill="1" applyBorder="1" applyAlignment="1">
      <alignment horizontal="center" vertical="center"/>
    </xf>
  </cellXfs>
  <cellStyles count="6">
    <cellStyle name="Bom" xfId="4" builtinId="26"/>
    <cellStyle name="Cálculo" xfId="5" builtinId="22"/>
    <cellStyle name="Moeda" xfId="1" builtinId="4"/>
    <cellStyle name="Normal" xfId="0" builtinId="0"/>
    <cellStyle name="Porcentagem" xfId="2" builtinId="5"/>
    <cellStyle name="Título 3" xfId="3" builtinId="18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tx>
            <c:strRef>
              <c:f>Plan1!$C$21</c:f>
              <c:strCache>
                <c:ptCount val="1"/>
                <c:pt idx="0">
                  <c:v>TESOURO - SELIC</c:v>
                </c:pt>
              </c:strCache>
            </c:strRef>
          </c:tx>
          <c:marker>
            <c:symbol val="none"/>
          </c:marker>
          <c:cat>
            <c:numRef>
              <c:f>Plan1!$B$22:$B$25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Plan1!$D$22:$D$25</c:f>
              <c:numCache>
                <c:formatCode>"R$"\ #,##0.00;[Red]\-"R$"\ #,##0.00</c:formatCode>
                <c:ptCount val="4"/>
                <c:pt idx="0">
                  <c:v>26340.56765334267</c:v>
                </c:pt>
                <c:pt idx="1">
                  <c:v>76603.674875050565</c:v>
                </c:pt>
                <c:pt idx="2">
                  <c:v>200103.43275996446</c:v>
                </c:pt>
                <c:pt idx="3">
                  <c:v>720204.25774014881</c:v>
                </c:pt>
              </c:numCache>
            </c:numRef>
          </c:val>
        </c:ser>
        <c:ser>
          <c:idx val="1"/>
          <c:order val="1"/>
          <c:tx>
            <c:strRef>
              <c:f>Plan1!$C$27</c:f>
              <c:strCache>
                <c:ptCount val="1"/>
                <c:pt idx="0">
                  <c:v>115% CDI</c:v>
                </c:pt>
              </c:strCache>
            </c:strRef>
          </c:tx>
          <c:marker>
            <c:symbol val="none"/>
          </c:marker>
          <c:cat>
            <c:numRef>
              <c:f>Plan1!$B$22:$B$25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Plan1!$D$28:$D$31</c:f>
              <c:numCache>
                <c:formatCode>"R$"\ #,##0.00;[Red]\-"R$"\ #,##0.00</c:formatCode>
                <c:ptCount val="4"/>
                <c:pt idx="0">
                  <c:v>26682.255446927989</c:v>
                </c:pt>
                <c:pt idx="1">
                  <c:v>79306.844879213546</c:v>
                </c:pt>
                <c:pt idx="2">
                  <c:v>215744.00186441257</c:v>
                </c:pt>
                <c:pt idx="3">
                  <c:v>854276.06232144241</c:v>
                </c:pt>
              </c:numCache>
            </c:numRef>
          </c:val>
        </c:ser>
        <c:ser>
          <c:idx val="2"/>
          <c:order val="2"/>
          <c:tx>
            <c:strRef>
              <c:f>Plan1!$C$33</c:f>
              <c:strCache>
                <c:ptCount val="1"/>
                <c:pt idx="0">
                  <c:v>FII</c:v>
                </c:pt>
              </c:strCache>
            </c:strRef>
          </c:tx>
          <c:marker>
            <c:symbol val="none"/>
          </c:marker>
          <c:cat>
            <c:numRef>
              <c:f>Plan1!$B$22:$B$25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Plan1!$D$34:$D$37</c:f>
              <c:numCache>
                <c:formatCode>"R$"\ #,##0.00;[Red]\-"R$"\ #,##0.00</c:formatCode>
                <c:ptCount val="4"/>
                <c:pt idx="0">
                  <c:v>26973.464853191497</c:v>
                </c:pt>
                <c:pt idx="1">
                  <c:v>81669.669856409135</c:v>
                </c:pt>
                <c:pt idx="2">
                  <c:v>230038.68945736697</c:v>
                </c:pt>
                <c:pt idx="3">
                  <c:v>989255.36538736301</c:v>
                </c:pt>
              </c:numCache>
            </c:numRef>
          </c:val>
        </c:ser>
        <c:marker val="1"/>
        <c:axId val="122810752"/>
        <c:axId val="122813056"/>
      </c:lineChart>
      <c:catAx>
        <c:axId val="122810752"/>
        <c:scaling>
          <c:orientation val="minMax"/>
        </c:scaling>
        <c:axPos val="b"/>
        <c:numFmt formatCode="General" sourceLinked="1"/>
        <c:majorTickMark val="none"/>
        <c:tickLblPos val="nextTo"/>
        <c:crossAx val="122813056"/>
        <c:crosses val="autoZero"/>
        <c:auto val="1"/>
        <c:lblAlgn val="ctr"/>
        <c:lblOffset val="100"/>
      </c:catAx>
      <c:valAx>
        <c:axId val="122813056"/>
        <c:scaling>
          <c:orientation val="minMax"/>
        </c:scaling>
        <c:axPos val="l"/>
        <c:majorGridlines/>
        <c:numFmt formatCode="&quot;R$&quot;\ #,##0.00;[Red]\-&quot;R$&quot;\ #,##0.00" sourceLinked="1"/>
        <c:tickLblPos val="nextTo"/>
        <c:crossAx val="122810752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8740157499999996" l="0.511811024" r="0.511811024" t="0.78740157499999996" header="0.31496062000000014" footer="0.3149606200000001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37</xdr:row>
      <xdr:rowOff>133350</xdr:rowOff>
    </xdr:from>
    <xdr:to>
      <xdr:col>5</xdr:col>
      <xdr:colOff>38101</xdr:colOff>
      <xdr:row>50</xdr:row>
      <xdr:rowOff>57150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0</xdr:row>
      <xdr:rowOff>209550</xdr:rowOff>
    </xdr:from>
    <xdr:to>
      <xdr:col>5</xdr:col>
      <xdr:colOff>208869</xdr:colOff>
      <xdr:row>2</xdr:row>
      <xdr:rowOff>9525</xdr:rowOff>
    </xdr:to>
    <xdr:pic>
      <xdr:nvPicPr>
        <xdr:cNvPr id="10" name="Imagem 9" descr="Gemini_Generated_Image_jhu5fojhu5fojhu5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" y="209550"/>
          <a:ext cx="4961844" cy="210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37"/>
  <sheetViews>
    <sheetView showGridLines="0" tabSelected="1" workbookViewId="0">
      <selection activeCell="G34" sqref="G34"/>
    </sheetView>
  </sheetViews>
  <sheetFormatPr defaultRowHeight="14.25"/>
  <cols>
    <col min="2" max="2" width="3.25" style="1" customWidth="1"/>
    <col min="3" max="3" width="26.625" bestFit="1" customWidth="1"/>
    <col min="4" max="4" width="12.75" bestFit="1" customWidth="1"/>
    <col min="5" max="5" width="20.125" bestFit="1" customWidth="1"/>
    <col min="6" max="6" width="14.75" bestFit="1" customWidth="1"/>
  </cols>
  <sheetData>
    <row r="1" spans="2:6" ht="167.25" customHeight="1">
      <c r="B1"/>
    </row>
    <row r="3" spans="2:6" ht="15" thickBot="1"/>
    <row r="4" spans="2:6" ht="32.25" customHeight="1">
      <c r="C4" s="5" t="s">
        <v>6</v>
      </c>
      <c r="D4" s="6"/>
      <c r="E4" s="7"/>
    </row>
    <row r="5" spans="2:6">
      <c r="C5" s="32" t="s">
        <v>0</v>
      </c>
      <c r="D5" s="33"/>
      <c r="E5" s="24">
        <v>3900</v>
      </c>
    </row>
    <row r="6" spans="2:6">
      <c r="C6" s="34" t="s">
        <v>4</v>
      </c>
      <c r="D6" s="35"/>
      <c r="E6" s="25">
        <v>1000</v>
      </c>
    </row>
    <row r="7" spans="2:6">
      <c r="C7" s="34" t="s">
        <v>1</v>
      </c>
      <c r="D7" s="35"/>
      <c r="E7" s="26">
        <f>aporte/salario</f>
        <v>0.25641025641025639</v>
      </c>
    </row>
    <row r="8" spans="2:6">
      <c r="C8" s="34" t="s">
        <v>3</v>
      </c>
      <c r="D8" s="35"/>
      <c r="E8" s="27">
        <f>salario*30%</f>
        <v>1170</v>
      </c>
    </row>
    <row r="9" spans="2:6" ht="15" thickBot="1">
      <c r="C9" s="36" t="s">
        <v>10</v>
      </c>
      <c r="D9" s="37"/>
      <c r="E9" s="28">
        <f>ideal-aporte</f>
        <v>170</v>
      </c>
    </row>
    <row r="10" spans="2:6">
      <c r="D10" s="3"/>
    </row>
    <row r="11" spans="2:6" ht="15" thickBot="1">
      <c r="D11" s="3"/>
    </row>
    <row r="12" spans="2:6" ht="32.25" customHeight="1" thickBot="1">
      <c r="C12" s="42" t="s">
        <v>20</v>
      </c>
      <c r="D12" s="43"/>
      <c r="E12" s="44"/>
    </row>
    <row r="13" spans="2:6" ht="15.75" thickBot="1">
      <c r="C13" s="40" t="s">
        <v>5</v>
      </c>
      <c r="D13" s="41"/>
      <c r="E13" s="8" t="s">
        <v>9</v>
      </c>
    </row>
    <row r="14" spans="2:6">
      <c r="C14" s="38" t="s">
        <v>8</v>
      </c>
      <c r="D14" s="39"/>
      <c r="E14" s="29">
        <f>9.59%/12</f>
        <v>7.991666666666666E-3</v>
      </c>
      <c r="F14" s="4"/>
    </row>
    <row r="15" spans="2:6">
      <c r="C15" s="34" t="s">
        <v>7</v>
      </c>
      <c r="D15" s="35"/>
      <c r="E15" s="30">
        <f>10.9%/12</f>
        <v>9.0833333333333339E-3</v>
      </c>
      <c r="F15" s="4"/>
    </row>
    <row r="16" spans="2:6" ht="15" thickBot="1">
      <c r="C16" s="36" t="s">
        <v>2</v>
      </c>
      <c r="D16" s="37"/>
      <c r="E16" s="31">
        <f>12%/12</f>
        <v>0.01</v>
      </c>
      <c r="F16" s="4"/>
    </row>
    <row r="17" spans="2:6">
      <c r="D17" s="2"/>
      <c r="E17" s="4"/>
      <c r="F17" s="4"/>
    </row>
    <row r="18" spans="2:6" ht="15" thickBot="1">
      <c r="D18" s="2"/>
      <c r="E18" s="4"/>
      <c r="F18" s="4"/>
    </row>
    <row r="19" spans="2:6" ht="32.25" customHeight="1" thickBot="1">
      <c r="C19" s="45" t="s">
        <v>16</v>
      </c>
      <c r="D19" s="46"/>
      <c r="E19" s="47" t="s">
        <v>18</v>
      </c>
    </row>
    <row r="20" spans="2:6" s="13" customFormat="1" ht="3.75" customHeight="1" thickBot="1">
      <c r="B20" s="14"/>
      <c r="C20" s="12"/>
      <c r="D20" s="12"/>
      <c r="E20" s="12"/>
    </row>
    <row r="21" spans="2:6" ht="15.75" thickBot="1">
      <c r="C21" s="9" t="s">
        <v>17</v>
      </c>
      <c r="D21" s="10"/>
      <c r="E21" s="11"/>
    </row>
    <row r="22" spans="2:6">
      <c r="B22" s="1">
        <v>2</v>
      </c>
      <c r="C22" s="15" t="s">
        <v>11</v>
      </c>
      <c r="D22" s="16">
        <f>FV(tesouro,B22*12,aporte*-1)</f>
        <v>26340.56765334267</v>
      </c>
      <c r="E22" s="17">
        <f>D22*tesouro</f>
        <v>210.50503649629681</v>
      </c>
    </row>
    <row r="23" spans="2:6">
      <c r="B23" s="1">
        <v>5</v>
      </c>
      <c r="C23" s="18" t="s">
        <v>12</v>
      </c>
      <c r="D23" s="19">
        <f>FV(tesouro,B23*12,aporte*-1)</f>
        <v>76603.674875050565</v>
      </c>
      <c r="E23" s="20">
        <f>D23*tesouro</f>
        <v>612.19103504311238</v>
      </c>
    </row>
    <row r="24" spans="2:6">
      <c r="B24" s="1">
        <v>10</v>
      </c>
      <c r="C24" s="18" t="s">
        <v>13</v>
      </c>
      <c r="D24" s="19">
        <f>FV(tesouro,B24*12,aporte*-1)</f>
        <v>200103.43275996446</v>
      </c>
      <c r="E24" s="20">
        <f>D24*tesouro</f>
        <v>1599.1599334733826</v>
      </c>
    </row>
    <row r="25" spans="2:6" ht="15" thickBot="1">
      <c r="B25" s="1">
        <v>20</v>
      </c>
      <c r="C25" s="21" t="s">
        <v>14</v>
      </c>
      <c r="D25" s="22">
        <f>FV(tesouro,B25*12,aporte*-1)</f>
        <v>720204.25774014881</v>
      </c>
      <c r="E25" s="23">
        <f>D25*tesouro</f>
        <v>5755.6323597733553</v>
      </c>
    </row>
    <row r="26" spans="2:6" ht="4.5" customHeight="1" thickBot="1"/>
    <row r="27" spans="2:6" ht="15.75" thickBot="1">
      <c r="C27" s="9" t="s">
        <v>19</v>
      </c>
      <c r="D27" s="10"/>
      <c r="E27" s="11"/>
    </row>
    <row r="28" spans="2:6">
      <c r="B28" s="1">
        <v>2</v>
      </c>
      <c r="C28" s="15" t="s">
        <v>11</v>
      </c>
      <c r="D28" s="16">
        <f>FV(caixinha,B28*12,aporte*-1)</f>
        <v>26682.255446927989</v>
      </c>
      <c r="E28" s="17">
        <f>D28*caixinha</f>
        <v>242.36382030959592</v>
      </c>
    </row>
    <row r="29" spans="2:6">
      <c r="B29" s="1">
        <v>5</v>
      </c>
      <c r="C29" s="18" t="s">
        <v>12</v>
      </c>
      <c r="D29" s="19">
        <f>FV(caixinha,B29*12,aporte*-1)</f>
        <v>79306.844879213546</v>
      </c>
      <c r="E29" s="20">
        <f>D29*caixinha</f>
        <v>720.37050765285642</v>
      </c>
    </row>
    <row r="30" spans="2:6">
      <c r="B30" s="1">
        <v>10</v>
      </c>
      <c r="C30" s="18" t="s">
        <v>13</v>
      </c>
      <c r="D30" s="19">
        <f>FV(caixinha,B30*12,aporte*-1)</f>
        <v>215744.00186441257</v>
      </c>
      <c r="E30" s="20">
        <f>D30*caixinha</f>
        <v>1959.6746836017476</v>
      </c>
    </row>
    <row r="31" spans="2:6" ht="15" thickBot="1">
      <c r="B31" s="1">
        <v>20</v>
      </c>
      <c r="C31" s="21" t="s">
        <v>14</v>
      </c>
      <c r="D31" s="22">
        <f>FV(caixinha,B31*12,aporte*-1)</f>
        <v>854276.06232144241</v>
      </c>
      <c r="E31" s="23">
        <f>D31*caixinha</f>
        <v>7759.6742327531019</v>
      </c>
    </row>
    <row r="32" spans="2:6" ht="3.75" customHeight="1" thickBot="1"/>
    <row r="33" spans="2:5" ht="15.75" thickBot="1">
      <c r="C33" s="9" t="s">
        <v>15</v>
      </c>
      <c r="D33" s="10"/>
      <c r="E33" s="11"/>
    </row>
    <row r="34" spans="2:5">
      <c r="B34" s="1">
        <v>2</v>
      </c>
      <c r="C34" s="15" t="s">
        <v>11</v>
      </c>
      <c r="D34" s="16">
        <f>FV(fii,B34*12,aporte*-1)</f>
        <v>26973.464853191497</v>
      </c>
      <c r="E34" s="17">
        <f>D34*fii</f>
        <v>269.73464853191496</v>
      </c>
    </row>
    <row r="35" spans="2:5">
      <c r="B35" s="1">
        <v>5</v>
      </c>
      <c r="C35" s="18" t="s">
        <v>12</v>
      </c>
      <c r="D35" s="19">
        <f>FV(fii,B35*12,aporte*-1)</f>
        <v>81669.669856409135</v>
      </c>
      <c r="E35" s="20">
        <f>D35*fii</f>
        <v>816.69669856409132</v>
      </c>
    </row>
    <row r="36" spans="2:5">
      <c r="B36" s="1">
        <v>10</v>
      </c>
      <c r="C36" s="18" t="s">
        <v>13</v>
      </c>
      <c r="D36" s="19">
        <f>FV(fii,B36*12,aporte*-1)</f>
        <v>230038.68945736697</v>
      </c>
      <c r="E36" s="20">
        <f>D36*fii</f>
        <v>2300.3868945736699</v>
      </c>
    </row>
    <row r="37" spans="2:5" ht="15" thickBot="1">
      <c r="B37" s="1">
        <v>20</v>
      </c>
      <c r="C37" s="21" t="s">
        <v>14</v>
      </c>
      <c r="D37" s="22">
        <f>FV(fii,B37*12,aporte*-1)</f>
        <v>989255.36538736301</v>
      </c>
      <c r="E37" s="23">
        <f>D37*fii</f>
        <v>9892.5536538736305</v>
      </c>
    </row>
  </sheetData>
  <mergeCells count="15">
    <mergeCell ref="C33:E33"/>
    <mergeCell ref="C4:E4"/>
    <mergeCell ref="C12:E12"/>
    <mergeCell ref="C5:D5"/>
    <mergeCell ref="C6:D6"/>
    <mergeCell ref="C7:D7"/>
    <mergeCell ref="C8:D8"/>
    <mergeCell ref="C9:D9"/>
    <mergeCell ref="C13:D13"/>
    <mergeCell ref="C14:D14"/>
    <mergeCell ref="C19:D19"/>
    <mergeCell ref="C21:E21"/>
    <mergeCell ref="C27:E27"/>
    <mergeCell ref="C15:D15"/>
    <mergeCell ref="C16:D1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6</vt:i4>
      </vt:variant>
    </vt:vector>
  </HeadingPairs>
  <TitlesOfParts>
    <vt:vector size="7" baseType="lpstr">
      <vt:lpstr>Plan1</vt:lpstr>
      <vt:lpstr>aporte</vt:lpstr>
      <vt:lpstr>caixinha</vt:lpstr>
      <vt:lpstr>fii</vt:lpstr>
      <vt:lpstr>ideal</vt:lpstr>
      <vt:lpstr>salario</vt:lpstr>
      <vt:lpstr>tesouro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Suporte Prodesys</cp:lastModifiedBy>
  <dcterms:created xsi:type="dcterms:W3CDTF">2025-04-16T18:38:03Z</dcterms:created>
  <dcterms:modified xsi:type="dcterms:W3CDTF">2026-01-19T14:29:51Z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