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20610" yWindow="630" windowWidth="20730" windowHeight="11760" tabRatio="345"/>
  </bookViews>
  <sheets>
    <sheet name="Plan1" sheetId="3" r:id="rId1"/>
  </sheets>
  <definedNames>
    <definedName name="aporte">Plan1!$E$6</definedName>
    <definedName name="caixinha">Plan1!$E$16</definedName>
    <definedName name="fii">Plan1!$E$17</definedName>
    <definedName name="ideal">Plan1!$E$9</definedName>
    <definedName name="patrimonio">#REF!</definedName>
    <definedName name="qtd_anos">#REF!</definedName>
    <definedName name="rendimento_carteira">#REF!</definedName>
    <definedName name="salario">Plan1!$E$5</definedName>
    <definedName name="sugestao_investimento">#REF!</definedName>
    <definedName name="taxa_mensal">#REF!</definedName>
    <definedName name="tempo">Plan1!$E$7</definedName>
    <definedName name="tesouro">Plan1!$E$15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7" i="3"/>
  <c r="E37" s="1"/>
  <c r="E30"/>
  <c r="D30"/>
  <c r="D23"/>
  <c r="E23" s="1"/>
  <c r="E16"/>
  <c r="D31" s="1"/>
  <c r="E31" s="1"/>
  <c r="E17"/>
  <c r="D40" s="1"/>
  <c r="E40" s="1"/>
  <c r="E15"/>
  <c r="E9"/>
  <c r="E10" s="1"/>
  <c r="E8"/>
  <c r="D38" l="1"/>
  <c r="E38" s="1"/>
  <c r="D39"/>
  <c r="E39" s="1"/>
  <c r="D26"/>
  <c r="E26" s="1"/>
  <c r="D41"/>
  <c r="E41" s="1"/>
  <c r="D25"/>
  <c r="E25" s="1"/>
  <c r="D27"/>
  <c r="E27" s="1"/>
  <c r="D32"/>
  <c r="E32" s="1"/>
  <c r="D33"/>
  <c r="E33" s="1"/>
  <c r="D34"/>
  <c r="E34" s="1"/>
  <c r="D24"/>
  <c r="E24" s="1"/>
</calcChain>
</file>

<file path=xl/sharedStrings.xml><?xml version="1.0" encoding="utf-8"?>
<sst xmlns="http://schemas.openxmlformats.org/spreadsheetml/2006/main" count="33" uniqueCount="23">
  <si>
    <t>Salário</t>
  </si>
  <si>
    <t>FIIs</t>
  </si>
  <si>
    <t>Possibilidade de investimento</t>
  </si>
  <si>
    <t>Investimento</t>
  </si>
  <si>
    <t>CONFIGURAÇÃO</t>
  </si>
  <si>
    <t>Caixinha 115% CDI</t>
  </si>
  <si>
    <t>Títulos do tesouro direto SELIC</t>
  </si>
  <si>
    <t>% rendimento mensal</t>
  </si>
  <si>
    <t>Patrimônio em 2 anos</t>
  </si>
  <si>
    <t>Patrimônio em 5 anos</t>
  </si>
  <si>
    <t>Patrimônio em 10 anos</t>
  </si>
  <si>
    <t>Patrimônio em 20 anos</t>
  </si>
  <si>
    <t>FII</t>
  </si>
  <si>
    <t>CENÁRIOS</t>
  </si>
  <si>
    <t>TESOURO - SELIC</t>
  </si>
  <si>
    <t>Dividendos</t>
  </si>
  <si>
    <t>115% CDI</t>
  </si>
  <si>
    <t>TIPOS DE INVESTIMENTO</t>
  </si>
  <si>
    <t>Tempo de Investimento (em anos)</t>
  </si>
  <si>
    <t>Patrimônio no tempo definido</t>
  </si>
  <si>
    <t>% do salário</t>
  </si>
  <si>
    <t>Valor ideal para investimento</t>
  </si>
  <si>
    <t>Restante para atingir valor ideal</t>
  </si>
</sst>
</file>

<file path=xl/styles.xml><?xml version="1.0" encoding="utf-8"?>
<styleSheet xmlns="http://schemas.openxmlformats.org/spreadsheetml/2006/main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4" tint="-0.249977111117893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ashed">
        <color theme="0"/>
      </left>
      <right style="dashed">
        <color theme="0"/>
      </right>
      <top style="medium">
        <color theme="4" tint="0.39997558519241921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dashed">
        <color theme="0"/>
      </right>
      <top style="thin">
        <color rgb="FF7F7F7F"/>
      </top>
      <bottom style="dashed">
        <color theme="0"/>
      </bottom>
      <diagonal/>
    </border>
    <border>
      <left style="medium">
        <color indexed="64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medium">
        <color indexed="64"/>
      </top>
      <bottom style="thin">
        <color rgb="FF7F7F7F"/>
      </bottom>
      <diagonal/>
    </border>
    <border>
      <left style="thin">
        <color rgb="FF7F7F7F"/>
      </left>
      <right style="medium">
        <color indexed="64"/>
      </right>
      <top style="medium">
        <color indexed="64"/>
      </top>
      <bottom style="thin">
        <color rgb="FF7F7F7F"/>
      </bottom>
      <diagonal/>
    </border>
    <border>
      <left style="medium">
        <color indexed="64"/>
      </left>
      <right style="dashed">
        <color theme="0"/>
      </right>
      <top style="thin">
        <color rgb="FF7F7F7F"/>
      </top>
      <bottom style="dashed">
        <color theme="0"/>
      </bottom>
      <diagonal/>
    </border>
    <border>
      <left style="dashed">
        <color theme="0"/>
      </left>
      <right style="medium">
        <color indexed="64"/>
      </right>
      <top style="thin">
        <color rgb="FF7F7F7F"/>
      </top>
      <bottom style="dashed">
        <color theme="2"/>
      </bottom>
      <diagonal/>
    </border>
    <border>
      <left style="medium">
        <color indexed="64"/>
      </left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medium">
        <color indexed="64"/>
      </right>
      <top style="dashed">
        <color theme="2"/>
      </top>
      <bottom style="dashed">
        <color theme="0"/>
      </bottom>
      <diagonal/>
    </border>
    <border>
      <left style="dashed">
        <color theme="0"/>
      </left>
      <right style="medium">
        <color indexed="64"/>
      </right>
      <top style="dashed">
        <color theme="0"/>
      </top>
      <bottom style="dashed">
        <color theme="0"/>
      </bottom>
      <diagonal/>
    </border>
    <border>
      <left style="medium">
        <color indexed="64"/>
      </left>
      <right style="dashed">
        <color theme="0"/>
      </right>
      <top style="dashed">
        <color theme="0"/>
      </top>
      <bottom style="medium">
        <color indexed="64"/>
      </bottom>
      <diagonal/>
    </border>
    <border>
      <left style="dashed">
        <color theme="0"/>
      </left>
      <right style="dashed">
        <color theme="0"/>
      </right>
      <top style="dashed">
        <color theme="0"/>
      </top>
      <bottom style="medium">
        <color indexed="64"/>
      </bottom>
      <diagonal/>
    </border>
    <border>
      <left style="dashed">
        <color theme="0"/>
      </left>
      <right style="medium">
        <color indexed="64"/>
      </right>
      <top style="dashed">
        <color theme="0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/>
      <bottom style="medium">
        <color theme="4" tint="0.39997558519241921"/>
      </bottom>
      <diagonal/>
    </border>
    <border>
      <left style="medium">
        <color indexed="64"/>
      </left>
      <right style="dashed">
        <color theme="0"/>
      </right>
      <top style="medium">
        <color theme="4" tint="0.39997558519241921"/>
      </top>
      <bottom style="dashed">
        <color theme="0"/>
      </bottom>
      <diagonal/>
    </border>
    <border>
      <left style="dashed">
        <color theme="0"/>
      </left>
      <right style="medium">
        <color indexed="64"/>
      </right>
      <top style="medium">
        <color theme="4" tint="0.39997558519241921"/>
      </top>
      <bottom style="dashed">
        <color theme="0"/>
      </bottom>
      <diagonal/>
    </border>
    <border>
      <left style="medium">
        <color indexed="64"/>
      </left>
      <right/>
      <top style="medium">
        <color indexed="64"/>
      </top>
      <bottom style="medium">
        <color theme="4" tint="0.39997558519241921"/>
      </bottom>
      <diagonal/>
    </border>
    <border>
      <left/>
      <right/>
      <top style="medium">
        <color indexed="64"/>
      </top>
      <bottom style="medium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medium">
        <color theme="4" tint="0.39997558519241921"/>
      </bottom>
      <diagonal/>
    </border>
    <border>
      <left style="medium">
        <color indexed="64"/>
      </left>
      <right style="dashed">
        <color theme="2"/>
      </right>
      <top style="medium">
        <color theme="4" tint="0.39997558519241921"/>
      </top>
      <bottom style="dashed">
        <color theme="2"/>
      </bottom>
      <diagonal/>
    </border>
    <border>
      <left style="medium">
        <color indexed="64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dashed">
        <color theme="2"/>
      </left>
      <right style="dashed">
        <color theme="2"/>
      </right>
      <top style="dashed">
        <color theme="2"/>
      </top>
      <bottom style="dashed">
        <color theme="2"/>
      </bottom>
      <diagonal/>
    </border>
    <border>
      <left style="dashed">
        <color theme="2"/>
      </left>
      <right style="medium">
        <color indexed="64"/>
      </right>
      <top style="dashed">
        <color theme="2"/>
      </top>
      <bottom style="dashed">
        <color theme="2"/>
      </bottom>
      <diagonal/>
    </border>
    <border>
      <left style="medium">
        <color indexed="64"/>
      </left>
      <right style="dashed">
        <color theme="2"/>
      </right>
      <top style="dashed">
        <color theme="2"/>
      </top>
      <bottom style="medium">
        <color indexed="64"/>
      </bottom>
      <diagonal/>
    </border>
    <border>
      <left style="dashed">
        <color theme="2"/>
      </left>
      <right style="dashed">
        <color theme="2"/>
      </right>
      <top style="dashed">
        <color theme="2"/>
      </top>
      <bottom style="medium">
        <color indexed="64"/>
      </bottom>
      <diagonal/>
    </border>
    <border>
      <left style="dashed">
        <color theme="2"/>
      </left>
      <right style="medium">
        <color indexed="64"/>
      </right>
      <top style="dashed">
        <color theme="2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2" tint="-0.24994659260841701"/>
      </bottom>
      <diagonal/>
    </border>
    <border>
      <left/>
      <right/>
      <top style="medium">
        <color indexed="64"/>
      </top>
      <bottom style="medium">
        <color theme="2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theme="2" tint="-0.24994659260841701"/>
      </bottom>
      <diagonal/>
    </border>
    <border>
      <left style="medium">
        <color indexed="64"/>
      </left>
      <right/>
      <top style="medium">
        <color theme="2" tint="-0.24994659260841701"/>
      </top>
      <bottom style="medium">
        <color theme="4" tint="0.39997558519241921"/>
      </bottom>
      <diagonal/>
    </border>
    <border>
      <left/>
      <right style="medium">
        <color theme="0"/>
      </right>
      <top style="medium">
        <color theme="2" tint="-0.24994659260841701"/>
      </top>
      <bottom style="medium">
        <color theme="4" tint="0.39997558519241921"/>
      </bottom>
      <diagonal/>
    </border>
    <border>
      <left style="medium">
        <color indexed="64"/>
      </left>
      <right style="medium">
        <color theme="7" tint="0.39994506668294322"/>
      </right>
      <top style="medium">
        <color indexed="64"/>
      </top>
      <bottom style="medium">
        <color indexed="64"/>
      </bottom>
      <diagonal/>
    </border>
    <border>
      <left style="medium">
        <color theme="7" tint="0.39994506668294322"/>
      </left>
      <right style="medium">
        <color theme="7" tint="0.39994506668294322"/>
      </right>
      <top style="medium">
        <color indexed="64"/>
      </top>
      <bottom style="medium">
        <color indexed="64"/>
      </bottom>
      <diagonal/>
    </border>
    <border>
      <left style="medium">
        <color theme="7" tint="0.3999450666829432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ashed">
        <color theme="0"/>
      </top>
      <bottom style="dashed">
        <color theme="0"/>
      </bottom>
      <diagonal/>
    </border>
    <border>
      <left/>
      <right style="dashed">
        <color theme="0"/>
      </right>
      <top style="dashed">
        <color theme="0"/>
      </top>
      <bottom style="dashed">
        <color theme="0"/>
      </bottom>
      <diagonal/>
    </border>
    <border>
      <left style="dashed">
        <color theme="0"/>
      </left>
      <right style="medium">
        <color indexed="64"/>
      </right>
      <top style="dashed">
        <color theme="2"/>
      </top>
      <bottom style="dashed">
        <color theme="2"/>
      </bottom>
      <diagonal/>
    </border>
    <border>
      <left style="medium">
        <color indexed="64"/>
      </left>
      <right style="dashed">
        <color theme="2"/>
      </right>
      <top/>
      <bottom style="dashed">
        <color theme="2"/>
      </bottom>
      <diagonal/>
    </border>
    <border>
      <left style="dashed">
        <color theme="2"/>
      </left>
      <right style="dashed">
        <color theme="2"/>
      </right>
      <top/>
      <bottom style="dashed">
        <color theme="2"/>
      </bottom>
      <diagonal/>
    </border>
    <border>
      <left style="dashed">
        <color theme="2"/>
      </left>
      <right style="medium">
        <color indexed="64"/>
      </right>
      <top/>
      <bottom style="dashed">
        <color theme="2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2" borderId="0" applyNumberFormat="0" applyBorder="0" applyAlignment="0" applyProtection="0"/>
    <xf numFmtId="0" fontId="5" fillId="3" borderId="2" applyNumberFormat="0" applyAlignment="0" applyProtection="0"/>
  </cellStyleXfs>
  <cellXfs count="56">
    <xf numFmtId="0" fontId="0" fillId="0" borderId="0" xfId="0"/>
    <xf numFmtId="0" fontId="2" fillId="0" borderId="0" xfId="0" applyFont="1"/>
    <xf numFmtId="9" fontId="0" fillId="0" borderId="0" xfId="0" applyNumberFormat="1"/>
    <xf numFmtId="164" fontId="0" fillId="0" borderId="0" xfId="1" applyNumberFormat="1" applyFont="1"/>
    <xf numFmtId="8" fontId="0" fillId="0" borderId="0" xfId="0" applyNumberFormat="1"/>
    <xf numFmtId="0" fontId="3" fillId="5" borderId="17" xfId="3" applyFill="1" applyBorder="1" applyAlignment="1">
      <alignment horizontal="center" vertical="center"/>
    </xf>
    <xf numFmtId="0" fontId="4" fillId="6" borderId="0" xfId="4" applyFill="1" applyBorder="1" applyAlignment="1">
      <alignment horizontal="center" vertical="center"/>
    </xf>
    <xf numFmtId="0" fontId="0" fillId="6" borderId="0" xfId="0" applyFill="1" applyBorder="1"/>
    <xf numFmtId="0" fontId="2" fillId="6" borderId="0" xfId="0" applyFont="1" applyFill="1" applyBorder="1"/>
    <xf numFmtId="0" fontId="0" fillId="4" borderId="23" xfId="0" applyFill="1" applyBorder="1"/>
    <xf numFmtId="0" fontId="0" fillId="4" borderId="24" xfId="0" applyFill="1" applyBorder="1"/>
    <xf numFmtId="8" fontId="0" fillId="4" borderId="25" xfId="0" applyNumberFormat="1" applyFill="1" applyBorder="1"/>
    <xf numFmtId="8" fontId="0" fillId="4" borderId="26" xfId="0" applyNumberFormat="1" applyFill="1" applyBorder="1"/>
    <xf numFmtId="0" fontId="0" fillId="4" borderId="27" xfId="0" applyFill="1" applyBorder="1"/>
    <xf numFmtId="8" fontId="0" fillId="4" borderId="28" xfId="0" applyNumberFormat="1" applyFill="1" applyBorder="1"/>
    <xf numFmtId="8" fontId="0" fillId="4" borderId="29" xfId="0" applyNumberFormat="1" applyFill="1" applyBorder="1"/>
    <xf numFmtId="164" fontId="0" fillId="0" borderId="10" xfId="1" applyNumberFormat="1" applyFont="1" applyBorder="1" applyAlignment="1">
      <alignment horizontal="center" vertical="center"/>
    </xf>
    <xf numFmtId="9" fontId="0" fillId="5" borderId="13" xfId="2" applyNumberFormat="1" applyFont="1" applyFill="1" applyBorder="1" applyAlignment="1">
      <alignment horizontal="center" vertical="center"/>
    </xf>
    <xf numFmtId="164" fontId="0" fillId="5" borderId="13" xfId="1" applyNumberFormat="1" applyFont="1" applyFill="1" applyBorder="1" applyAlignment="1">
      <alignment horizontal="center" vertical="center"/>
    </xf>
    <xf numFmtId="164" fontId="0" fillId="5" borderId="16" xfId="1" applyNumberFormat="1" applyFont="1" applyFill="1" applyBorder="1" applyAlignment="1">
      <alignment horizontal="center" vertical="center"/>
    </xf>
    <xf numFmtId="10" fontId="0" fillId="5" borderId="19" xfId="0" applyNumberFormat="1" applyFill="1" applyBorder="1" applyAlignment="1">
      <alignment horizontal="center" vertical="center"/>
    </xf>
    <xf numFmtId="10" fontId="0" fillId="5" borderId="13" xfId="0" applyNumberFormat="1" applyFill="1" applyBorder="1" applyAlignment="1">
      <alignment horizontal="center" vertical="center"/>
    </xf>
    <xf numFmtId="9" fontId="0" fillId="5" borderId="16" xfId="0" applyNumberFormat="1" applyFill="1" applyBorder="1" applyAlignment="1">
      <alignment horizontal="center" vertical="center"/>
    </xf>
    <xf numFmtId="0" fontId="6" fillId="7" borderId="37" xfId="4" applyFont="1" applyFill="1" applyBorder="1" applyAlignment="1">
      <alignment horizontal="center" vertical="center"/>
    </xf>
    <xf numFmtId="0" fontId="3" fillId="0" borderId="20" xfId="3" applyBorder="1" applyAlignment="1">
      <alignment horizontal="center"/>
    </xf>
    <xf numFmtId="0" fontId="3" fillId="0" borderId="21" xfId="3" applyBorder="1" applyAlignment="1">
      <alignment horizontal="center"/>
    </xf>
    <xf numFmtId="0" fontId="3" fillId="0" borderId="22" xfId="3" applyBorder="1" applyAlignment="1">
      <alignment horizontal="center"/>
    </xf>
    <xf numFmtId="0" fontId="5" fillId="3" borderId="6" xfId="5" applyBorder="1" applyAlignment="1">
      <alignment horizontal="center" vertical="center"/>
    </xf>
    <xf numFmtId="0" fontId="5" fillId="3" borderId="7" xfId="5" applyBorder="1" applyAlignment="1">
      <alignment horizontal="center" vertical="center"/>
    </xf>
    <xf numFmtId="0" fontId="5" fillId="3" borderId="8" xfId="5" applyBorder="1" applyAlignment="1">
      <alignment horizontal="center" vertical="center"/>
    </xf>
    <xf numFmtId="0" fontId="6" fillId="7" borderId="30" xfId="4" applyFont="1" applyFill="1" applyBorder="1" applyAlignment="1">
      <alignment horizontal="center" vertical="center"/>
    </xf>
    <xf numFmtId="0" fontId="6" fillId="7" borderId="31" xfId="4" applyFont="1" applyFill="1" applyBorder="1" applyAlignment="1">
      <alignment horizontal="center" vertical="center"/>
    </xf>
    <xf numFmtId="0" fontId="6" fillId="7" borderId="32" xfId="4" applyFont="1" applyFill="1" applyBorder="1" applyAlignment="1">
      <alignment horizontal="center" vertical="center"/>
    </xf>
    <xf numFmtId="0" fontId="0" fillId="5" borderId="11" xfId="0" applyFill="1" applyBorder="1" applyAlignment="1">
      <alignment horizontal="left" indent="3"/>
    </xf>
    <xf numFmtId="0" fontId="0" fillId="5" borderId="4" xfId="0" applyFill="1" applyBorder="1" applyAlignment="1">
      <alignment horizontal="left" indent="3"/>
    </xf>
    <xf numFmtId="0" fontId="0" fillId="5" borderId="14" xfId="0" applyFill="1" applyBorder="1" applyAlignment="1">
      <alignment horizontal="left" indent="3"/>
    </xf>
    <xf numFmtId="0" fontId="0" fillId="5" borderId="15" xfId="0" applyFill="1" applyBorder="1" applyAlignment="1">
      <alignment horizontal="left" indent="3"/>
    </xf>
    <xf numFmtId="0" fontId="0" fillId="5" borderId="18" xfId="0" applyFill="1" applyBorder="1" applyAlignment="1">
      <alignment horizontal="left" indent="3"/>
    </xf>
    <xf numFmtId="0" fontId="0" fillId="5" borderId="3" xfId="0" applyFill="1" applyBorder="1" applyAlignment="1">
      <alignment horizontal="left" indent="3"/>
    </xf>
    <xf numFmtId="0" fontId="6" fillId="7" borderId="35" xfId="4" applyFont="1" applyFill="1" applyBorder="1" applyAlignment="1">
      <alignment horizontal="center" vertical="center"/>
    </xf>
    <xf numFmtId="0" fontId="6" fillId="7" borderId="36" xfId="4" applyFont="1" applyFill="1" applyBorder="1" applyAlignment="1">
      <alignment horizontal="center" vertical="center"/>
    </xf>
    <xf numFmtId="0" fontId="0" fillId="5" borderId="9" xfId="0" applyFill="1" applyBorder="1" applyAlignment="1">
      <alignment horizontal="left" vertical="center" indent="3"/>
    </xf>
    <xf numFmtId="0" fontId="0" fillId="5" borderId="5" xfId="0" applyFill="1" applyBorder="1" applyAlignment="1">
      <alignment horizontal="left" vertical="center" indent="3"/>
    </xf>
    <xf numFmtId="0" fontId="0" fillId="5" borderId="11" xfId="0" applyFill="1" applyBorder="1" applyAlignment="1">
      <alignment horizontal="left" vertical="center" indent="3"/>
    </xf>
    <xf numFmtId="0" fontId="0" fillId="5" borderId="4" xfId="0" applyFill="1" applyBorder="1" applyAlignment="1">
      <alignment horizontal="left" vertical="center" indent="3"/>
    </xf>
    <xf numFmtId="0" fontId="0" fillId="5" borderId="38" xfId="0" applyFill="1" applyBorder="1" applyAlignment="1">
      <alignment horizontal="left" vertical="center" indent="3"/>
    </xf>
    <xf numFmtId="0" fontId="0" fillId="5" borderId="39" xfId="0" applyFill="1" applyBorder="1" applyAlignment="1">
      <alignment horizontal="left" vertical="center" indent="3"/>
    </xf>
    <xf numFmtId="0" fontId="0" fillId="5" borderId="14" xfId="0" applyFill="1" applyBorder="1" applyAlignment="1">
      <alignment horizontal="left" vertical="center" indent="3"/>
    </xf>
    <xf numFmtId="0" fontId="0" fillId="5" borderId="15" xfId="0" applyFill="1" applyBorder="1" applyAlignment="1">
      <alignment horizontal="left" vertical="center" indent="3"/>
    </xf>
    <xf numFmtId="164" fontId="0" fillId="0" borderId="40" xfId="1" applyNumberFormat="1" applyFont="1" applyBorder="1" applyAlignment="1">
      <alignment horizontal="center" vertical="center"/>
    </xf>
    <xf numFmtId="1" fontId="0" fillId="0" borderId="12" xfId="1" applyNumberFormat="1" applyFont="1" applyBorder="1" applyAlignment="1">
      <alignment horizontal="center" vertical="center"/>
    </xf>
    <xf numFmtId="0" fontId="0" fillId="4" borderId="41" xfId="0" applyFill="1" applyBorder="1"/>
    <xf numFmtId="8" fontId="0" fillId="4" borderId="42" xfId="0" applyNumberFormat="1" applyFill="1" applyBorder="1"/>
    <xf numFmtId="8" fontId="0" fillId="4" borderId="43" xfId="0" applyNumberFormat="1" applyFill="1" applyBorder="1"/>
    <xf numFmtId="0" fontId="3" fillId="5" borderId="33" xfId="3" applyFill="1" applyBorder="1" applyAlignment="1">
      <alignment horizontal="left" vertical="center" indent="3"/>
    </xf>
    <xf numFmtId="0" fontId="0" fillId="0" borderId="34" xfId="0" applyBorder="1" applyAlignment="1">
      <alignment horizontal="left" indent="3"/>
    </xf>
  </cellXfs>
  <cellStyles count="6">
    <cellStyle name="Bom" xfId="4" builtinId="26"/>
    <cellStyle name="Cálculo" xfId="5" builtinId="22"/>
    <cellStyle name="Moeda" xfId="1" builtinId="4"/>
    <cellStyle name="Normal" xfId="0" builtinId="0"/>
    <cellStyle name="Porcentagem" xfId="2" builtinId="5"/>
    <cellStyle name="Título 3" xfId="3" builtinId="18"/>
  </cellStyles>
  <dxfs count="0"/>
  <tableStyles count="0" defaultTableStyle="TableStyleMedium2" defaultPivotStyle="PivotStyleLight16"/>
  <colors>
    <mruColors>
      <color rgb="FFE2BD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pt-BR"/>
  <c:chart>
    <c:plotArea>
      <c:layout/>
      <c:lineChart>
        <c:grouping val="standard"/>
        <c:ser>
          <c:idx val="0"/>
          <c:order val="0"/>
          <c:tx>
            <c:strRef>
              <c:f>Plan1!$C$22</c:f>
              <c:strCache>
                <c:ptCount val="1"/>
                <c:pt idx="0">
                  <c:v>TESOURO - SELIC</c:v>
                </c:pt>
              </c:strCache>
            </c:strRef>
          </c:tx>
          <c:marker>
            <c:symbol val="none"/>
          </c:marker>
          <c:cat>
            <c:numRef>
              <c:f>Plan1!$B$24:$B$27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Plan1!$D$24:$D$27</c:f>
              <c:numCache>
                <c:formatCode>"R$"\ #,##0.00;[Red]\-"R$"\ #,##0.00</c:formatCode>
                <c:ptCount val="4"/>
                <c:pt idx="0">
                  <c:v>26340.56765334267</c:v>
                </c:pt>
                <c:pt idx="1">
                  <c:v>76603.674875050565</c:v>
                </c:pt>
                <c:pt idx="2">
                  <c:v>200103.43275996446</c:v>
                </c:pt>
                <c:pt idx="3">
                  <c:v>720204.25774014881</c:v>
                </c:pt>
              </c:numCache>
            </c:numRef>
          </c:val>
        </c:ser>
        <c:ser>
          <c:idx val="1"/>
          <c:order val="1"/>
          <c:tx>
            <c:strRef>
              <c:f>Plan1!$C$29</c:f>
              <c:strCache>
                <c:ptCount val="1"/>
                <c:pt idx="0">
                  <c:v>115% CDI</c:v>
                </c:pt>
              </c:strCache>
            </c:strRef>
          </c:tx>
          <c:marker>
            <c:symbol val="none"/>
          </c:marker>
          <c:cat>
            <c:numRef>
              <c:f>Plan1!$B$24:$B$27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Plan1!$D$31:$D$34</c:f>
              <c:numCache>
                <c:formatCode>"R$"\ #,##0.00;[Red]\-"R$"\ #,##0.00</c:formatCode>
                <c:ptCount val="4"/>
                <c:pt idx="0">
                  <c:v>26682.255446927989</c:v>
                </c:pt>
                <c:pt idx="1">
                  <c:v>79306.844879213546</c:v>
                </c:pt>
                <c:pt idx="2">
                  <c:v>215744.00186441257</c:v>
                </c:pt>
                <c:pt idx="3">
                  <c:v>854276.06232144241</c:v>
                </c:pt>
              </c:numCache>
            </c:numRef>
          </c:val>
        </c:ser>
        <c:ser>
          <c:idx val="2"/>
          <c:order val="2"/>
          <c:tx>
            <c:strRef>
              <c:f>Plan1!$C$36</c:f>
              <c:strCache>
                <c:ptCount val="1"/>
                <c:pt idx="0">
                  <c:v>FII</c:v>
                </c:pt>
              </c:strCache>
            </c:strRef>
          </c:tx>
          <c:marker>
            <c:symbol val="none"/>
          </c:marker>
          <c:cat>
            <c:numRef>
              <c:f>Plan1!$B$24:$B$27</c:f>
              <c:numCache>
                <c:formatCode>General</c:formatCode>
                <c:ptCount val="4"/>
                <c:pt idx="0">
                  <c:v>2</c:v>
                </c:pt>
                <c:pt idx="1">
                  <c:v>5</c:v>
                </c:pt>
                <c:pt idx="2">
                  <c:v>10</c:v>
                </c:pt>
                <c:pt idx="3">
                  <c:v>20</c:v>
                </c:pt>
              </c:numCache>
            </c:numRef>
          </c:cat>
          <c:val>
            <c:numRef>
              <c:f>Plan1!$D$38:$D$41</c:f>
              <c:numCache>
                <c:formatCode>"R$"\ #,##0.00;[Red]\-"R$"\ #,##0.00</c:formatCode>
                <c:ptCount val="4"/>
                <c:pt idx="0">
                  <c:v>26973.464853191497</c:v>
                </c:pt>
                <c:pt idx="1">
                  <c:v>81669.669856409135</c:v>
                </c:pt>
                <c:pt idx="2">
                  <c:v>230038.68945736697</c:v>
                </c:pt>
                <c:pt idx="3">
                  <c:v>989255.36538736301</c:v>
                </c:pt>
              </c:numCache>
            </c:numRef>
          </c:val>
        </c:ser>
        <c:marker val="1"/>
        <c:axId val="95291264"/>
        <c:axId val="95292800"/>
      </c:lineChart>
      <c:catAx>
        <c:axId val="95291264"/>
        <c:scaling>
          <c:orientation val="minMax"/>
        </c:scaling>
        <c:axPos val="b"/>
        <c:numFmt formatCode="General" sourceLinked="1"/>
        <c:majorTickMark val="none"/>
        <c:tickLblPos val="nextTo"/>
        <c:crossAx val="95292800"/>
        <c:crosses val="autoZero"/>
        <c:auto val="1"/>
        <c:lblAlgn val="ctr"/>
        <c:lblOffset val="100"/>
      </c:catAx>
      <c:valAx>
        <c:axId val="95292800"/>
        <c:scaling>
          <c:orientation val="minMax"/>
        </c:scaling>
        <c:axPos val="l"/>
        <c:majorGridlines/>
        <c:numFmt formatCode="&quot;R$&quot;\ #,##0.00;[Red]\-&quot;R$&quot;\ #,##0.00" sourceLinked="1"/>
        <c:tickLblPos val="nextTo"/>
        <c:crossAx val="95291264"/>
        <c:crosses val="autoZero"/>
        <c:crossBetween val="between"/>
      </c:valAx>
    </c:plotArea>
    <c:legend>
      <c:legendPos val="r"/>
      <c:layout/>
    </c:legend>
    <c:plotVisOnly val="1"/>
  </c:chart>
  <c:spPr>
    <a:ln>
      <a:noFill/>
    </a:ln>
  </c:spPr>
  <c:printSettings>
    <c:headerFooter/>
    <c:pageMargins b="0.78740157499999996" l="0.511811024" r="0.511811024" t="0.78740157499999996" header="0.31496062000000025" footer="0.31496062000000025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41</xdr:row>
      <xdr:rowOff>133350</xdr:rowOff>
    </xdr:from>
    <xdr:to>
      <xdr:col>5</xdr:col>
      <xdr:colOff>38101</xdr:colOff>
      <xdr:row>54</xdr:row>
      <xdr:rowOff>57150</xdr:rowOff>
    </xdr:to>
    <xdr:graphicFrame macro="">
      <xdr:nvGraphicFramePr>
        <xdr:cNvPr id="6" name="Grá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0</xdr:row>
      <xdr:rowOff>209550</xdr:rowOff>
    </xdr:from>
    <xdr:to>
      <xdr:col>5</xdr:col>
      <xdr:colOff>208869</xdr:colOff>
      <xdr:row>2</xdr:row>
      <xdr:rowOff>9525</xdr:rowOff>
    </xdr:to>
    <xdr:pic>
      <xdr:nvPicPr>
        <xdr:cNvPr id="10" name="Imagem 9" descr="Gemini_Generated_Image_jhu5fojhu5fojhu5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375" y="209550"/>
          <a:ext cx="4961844" cy="2105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F41"/>
  <sheetViews>
    <sheetView showGridLines="0" tabSelected="1" topLeftCell="A10" workbookViewId="0">
      <selection activeCell="H18" sqref="H18"/>
    </sheetView>
  </sheetViews>
  <sheetFormatPr defaultRowHeight="14.25"/>
  <cols>
    <col min="2" max="2" width="3.25" style="1" customWidth="1"/>
    <col min="3" max="3" width="26.625" bestFit="1" customWidth="1"/>
    <col min="4" max="4" width="12.75" bestFit="1" customWidth="1"/>
    <col min="5" max="5" width="20.125" bestFit="1" customWidth="1"/>
    <col min="6" max="6" width="14.75" bestFit="1" customWidth="1"/>
  </cols>
  <sheetData>
    <row r="1" spans="2:6" ht="167.25" customHeight="1">
      <c r="B1"/>
    </row>
    <row r="3" spans="2:6" ht="15" thickBot="1"/>
    <row r="4" spans="2:6" ht="32.25" customHeight="1">
      <c r="C4" s="27" t="s">
        <v>4</v>
      </c>
      <c r="D4" s="28"/>
      <c r="E4" s="29"/>
    </row>
    <row r="5" spans="2:6">
      <c r="C5" s="41" t="s">
        <v>0</v>
      </c>
      <c r="D5" s="42"/>
      <c r="E5" s="16">
        <v>3900</v>
      </c>
    </row>
    <row r="6" spans="2:6">
      <c r="C6" s="43" t="s">
        <v>2</v>
      </c>
      <c r="D6" s="44"/>
      <c r="E6" s="49">
        <v>1000</v>
      </c>
    </row>
    <row r="7" spans="2:6">
      <c r="C7" s="45" t="s">
        <v>18</v>
      </c>
      <c r="D7" s="46"/>
      <c r="E7" s="50">
        <v>15</v>
      </c>
    </row>
    <row r="8" spans="2:6">
      <c r="C8" s="43" t="s">
        <v>20</v>
      </c>
      <c r="D8" s="44"/>
      <c r="E8" s="17">
        <f>aporte/salario</f>
        <v>0.25641025641025639</v>
      </c>
    </row>
    <row r="9" spans="2:6">
      <c r="C9" s="43" t="s">
        <v>21</v>
      </c>
      <c r="D9" s="44"/>
      <c r="E9" s="18">
        <f>salario*30%</f>
        <v>1170</v>
      </c>
    </row>
    <row r="10" spans="2:6" ht="15" thickBot="1">
      <c r="C10" s="47" t="s">
        <v>22</v>
      </c>
      <c r="D10" s="48"/>
      <c r="E10" s="19">
        <f>ideal-aporte</f>
        <v>170</v>
      </c>
    </row>
    <row r="11" spans="2:6">
      <c r="D11" s="3"/>
    </row>
    <row r="12" spans="2:6" ht="15" thickBot="1">
      <c r="D12" s="3"/>
    </row>
    <row r="13" spans="2:6" ht="32.25" customHeight="1" thickBot="1">
      <c r="C13" s="30" t="s">
        <v>17</v>
      </c>
      <c r="D13" s="31"/>
      <c r="E13" s="32"/>
    </row>
    <row r="14" spans="2:6" ht="15.75" thickBot="1">
      <c r="C14" s="54" t="s">
        <v>3</v>
      </c>
      <c r="D14" s="55"/>
      <c r="E14" s="5" t="s">
        <v>7</v>
      </c>
    </row>
    <row r="15" spans="2:6">
      <c r="C15" s="37" t="s">
        <v>6</v>
      </c>
      <c r="D15" s="38"/>
      <c r="E15" s="20">
        <f>9.59%/12</f>
        <v>7.991666666666666E-3</v>
      </c>
      <c r="F15" s="4"/>
    </row>
    <row r="16" spans="2:6">
      <c r="C16" s="33" t="s">
        <v>5</v>
      </c>
      <c r="D16" s="34"/>
      <c r="E16" s="21">
        <f>10.9%/12</f>
        <v>9.0833333333333339E-3</v>
      </c>
      <c r="F16" s="4"/>
    </row>
    <row r="17" spans="2:6" ht="15" thickBot="1">
      <c r="C17" s="35" t="s">
        <v>1</v>
      </c>
      <c r="D17" s="36"/>
      <c r="E17" s="22">
        <f>12%/12</f>
        <v>0.01</v>
      </c>
      <c r="F17" s="4"/>
    </row>
    <row r="18" spans="2:6">
      <c r="D18" s="2"/>
      <c r="E18" s="4"/>
      <c r="F18" s="4"/>
    </row>
    <row r="19" spans="2:6" ht="15" thickBot="1">
      <c r="D19" s="2"/>
      <c r="E19" s="4"/>
      <c r="F19" s="4"/>
    </row>
    <row r="20" spans="2:6" ht="32.25" customHeight="1" thickBot="1">
      <c r="C20" s="39" t="s">
        <v>13</v>
      </c>
      <c r="D20" s="40"/>
      <c r="E20" s="23" t="s">
        <v>15</v>
      </c>
    </row>
    <row r="21" spans="2:6" s="7" customFormat="1" ht="3.75" customHeight="1" thickBot="1">
      <c r="B21" s="8"/>
      <c r="C21" s="6"/>
      <c r="D21" s="6"/>
      <c r="E21" s="6"/>
    </row>
    <row r="22" spans="2:6" ht="15.75" thickBot="1">
      <c r="C22" s="24" t="s">
        <v>14</v>
      </c>
      <c r="D22" s="25"/>
      <c r="E22" s="26"/>
    </row>
    <row r="23" spans="2:6">
      <c r="C23" s="9" t="s">
        <v>19</v>
      </c>
      <c r="D23" s="52">
        <f>FV(tesouro,tempo*12,aporte*-1)</f>
        <v>399208.63525201735</v>
      </c>
      <c r="E23" s="53">
        <f>D23*tesouro</f>
        <v>3190.3423433890384</v>
      </c>
    </row>
    <row r="24" spans="2:6">
      <c r="B24" s="1">
        <v>2</v>
      </c>
      <c r="C24" s="51" t="s">
        <v>8</v>
      </c>
      <c r="D24" s="52">
        <f>FV(tesouro,B24*12,aporte*-1)</f>
        <v>26340.56765334267</v>
      </c>
      <c r="E24" s="53">
        <f>D24*tesouro</f>
        <v>210.50503649629681</v>
      </c>
    </row>
    <row r="25" spans="2:6">
      <c r="B25" s="1">
        <v>5</v>
      </c>
      <c r="C25" s="10" t="s">
        <v>9</v>
      </c>
      <c r="D25" s="11">
        <f>FV(tesouro,B25*12,aporte*-1)</f>
        <v>76603.674875050565</v>
      </c>
      <c r="E25" s="12">
        <f>D25*tesouro</f>
        <v>612.19103504311238</v>
      </c>
    </row>
    <row r="26" spans="2:6">
      <c r="B26" s="1">
        <v>10</v>
      </c>
      <c r="C26" s="10" t="s">
        <v>10</v>
      </c>
      <c r="D26" s="11">
        <f>FV(tesouro,B26*12,aporte*-1)</f>
        <v>200103.43275996446</v>
      </c>
      <c r="E26" s="12">
        <f>D26*tesouro</f>
        <v>1599.1599334733826</v>
      </c>
    </row>
    <row r="27" spans="2:6" ht="15" thickBot="1">
      <c r="B27" s="1">
        <v>20</v>
      </c>
      <c r="C27" s="13" t="s">
        <v>11</v>
      </c>
      <c r="D27" s="14">
        <f>FV(tesouro,B27*12,aporte*-1)</f>
        <v>720204.25774014881</v>
      </c>
      <c r="E27" s="15">
        <f>D27*tesouro</f>
        <v>5755.6323597733553</v>
      </c>
    </row>
    <row r="28" spans="2:6" ht="4.5" customHeight="1" thickBot="1"/>
    <row r="29" spans="2:6" ht="15.75" thickBot="1">
      <c r="C29" s="24" t="s">
        <v>16</v>
      </c>
      <c r="D29" s="25"/>
      <c r="E29" s="26"/>
    </row>
    <row r="30" spans="2:6">
      <c r="C30" s="9" t="s">
        <v>19</v>
      </c>
      <c r="D30" s="52">
        <f>FV(caixinha,tempo*12,aporte*-1)</f>
        <v>450466.46288975165</v>
      </c>
      <c r="E30" s="53">
        <f>D30*caixinha</f>
        <v>4091.7370379152444</v>
      </c>
    </row>
    <row r="31" spans="2:6">
      <c r="B31" s="1">
        <v>2</v>
      </c>
      <c r="C31" s="51" t="s">
        <v>8</v>
      </c>
      <c r="D31" s="52">
        <f>FV(caixinha,B31*12,aporte*-1)</f>
        <v>26682.255446927989</v>
      </c>
      <c r="E31" s="53">
        <f>D31*caixinha</f>
        <v>242.36382030959592</v>
      </c>
    </row>
    <row r="32" spans="2:6">
      <c r="B32" s="1">
        <v>5</v>
      </c>
      <c r="C32" s="10" t="s">
        <v>9</v>
      </c>
      <c r="D32" s="11">
        <f>FV(caixinha,B32*12,aporte*-1)</f>
        <v>79306.844879213546</v>
      </c>
      <c r="E32" s="12">
        <f>D32*caixinha</f>
        <v>720.37050765285642</v>
      </c>
    </row>
    <row r="33" spans="2:5">
      <c r="B33" s="1">
        <v>10</v>
      </c>
      <c r="C33" s="10" t="s">
        <v>10</v>
      </c>
      <c r="D33" s="11">
        <f>FV(caixinha,B33*12,aporte*-1)</f>
        <v>215744.00186441257</v>
      </c>
      <c r="E33" s="12">
        <f>D33*caixinha</f>
        <v>1959.6746836017476</v>
      </c>
    </row>
    <row r="34" spans="2:5" ht="15" thickBot="1">
      <c r="B34" s="1">
        <v>20</v>
      </c>
      <c r="C34" s="13" t="s">
        <v>11</v>
      </c>
      <c r="D34" s="14">
        <f>FV(caixinha,B34*12,aporte*-1)</f>
        <v>854276.06232144241</v>
      </c>
      <c r="E34" s="15">
        <f>D34*caixinha</f>
        <v>7759.6742327531019</v>
      </c>
    </row>
    <row r="35" spans="2:5" ht="3.75" customHeight="1" thickBot="1"/>
    <row r="36" spans="2:5" ht="15.75" thickBot="1">
      <c r="C36" s="24" t="s">
        <v>12</v>
      </c>
      <c r="D36" s="25"/>
      <c r="E36" s="26"/>
    </row>
    <row r="37" spans="2:5">
      <c r="C37" s="9" t="s">
        <v>19</v>
      </c>
      <c r="D37" s="52">
        <f>FV(fii,tempo*12,aporte*-1)</f>
        <v>499580.19753561798</v>
      </c>
      <c r="E37" s="53">
        <f>D37*fii</f>
        <v>4995.8019753561803</v>
      </c>
    </row>
    <row r="38" spans="2:5">
      <c r="B38" s="1">
        <v>2</v>
      </c>
      <c r="C38" s="51" t="s">
        <v>8</v>
      </c>
      <c r="D38" s="52">
        <f>FV(fii,B38*12,aporte*-1)</f>
        <v>26973.464853191497</v>
      </c>
      <c r="E38" s="53">
        <f>D38*fii</f>
        <v>269.73464853191496</v>
      </c>
    </row>
    <row r="39" spans="2:5">
      <c r="B39" s="1">
        <v>5</v>
      </c>
      <c r="C39" s="10" t="s">
        <v>9</v>
      </c>
      <c r="D39" s="11">
        <f>FV(fii,B39*12,aporte*-1)</f>
        <v>81669.669856409135</v>
      </c>
      <c r="E39" s="12">
        <f>D39*fii</f>
        <v>816.69669856409132</v>
      </c>
    </row>
    <row r="40" spans="2:5">
      <c r="B40" s="1">
        <v>10</v>
      </c>
      <c r="C40" s="10" t="s">
        <v>10</v>
      </c>
      <c r="D40" s="11">
        <f>FV(fii,B40*12,aporte*-1)</f>
        <v>230038.68945736697</v>
      </c>
      <c r="E40" s="12">
        <f>D40*fii</f>
        <v>2300.3868945736699</v>
      </c>
    </row>
    <row r="41" spans="2:5" ht="15" thickBot="1">
      <c r="B41" s="1">
        <v>20</v>
      </c>
      <c r="C41" s="13" t="s">
        <v>11</v>
      </c>
      <c r="D41" s="14">
        <f>FV(fii,B41*12,aporte*-1)</f>
        <v>989255.36538736301</v>
      </c>
      <c r="E41" s="15">
        <f>D41*fii</f>
        <v>9892.5536538736305</v>
      </c>
    </row>
  </sheetData>
  <mergeCells count="16">
    <mergeCell ref="C36:E36"/>
    <mergeCell ref="C4:E4"/>
    <mergeCell ref="C13:E13"/>
    <mergeCell ref="C5:D5"/>
    <mergeCell ref="C6:D6"/>
    <mergeCell ref="C8:D8"/>
    <mergeCell ref="C9:D9"/>
    <mergeCell ref="C10:D10"/>
    <mergeCell ref="C14:D14"/>
    <mergeCell ref="C15:D15"/>
    <mergeCell ref="C20:D20"/>
    <mergeCell ref="C22:E22"/>
    <mergeCell ref="C29:E29"/>
    <mergeCell ref="C16:D16"/>
    <mergeCell ref="C17:D17"/>
    <mergeCell ref="C7:D7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4D0D6DD-E6DB-45C8-8F90-E314C090C085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62BBC473-00BC-48E4-BFA3-FE8E2B1F00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32110DE-3D77-470C-9CED-65521C30E3F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7</vt:i4>
      </vt:variant>
    </vt:vector>
  </HeadingPairs>
  <TitlesOfParts>
    <vt:vector size="8" baseType="lpstr">
      <vt:lpstr>Plan1</vt:lpstr>
      <vt:lpstr>aporte</vt:lpstr>
      <vt:lpstr>caixinha</vt:lpstr>
      <vt:lpstr>fii</vt:lpstr>
      <vt:lpstr>ideal</vt:lpstr>
      <vt:lpstr>salario</vt:lpstr>
      <vt:lpstr>tempo</vt:lpstr>
      <vt:lpstr>tesouro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Felipe Silva Aguiar</dc:creator>
  <cp:lastModifiedBy>Suporte Prodesys</cp:lastModifiedBy>
  <dcterms:created xsi:type="dcterms:W3CDTF">2025-04-16T18:38:03Z</dcterms:created>
  <dcterms:modified xsi:type="dcterms:W3CDTF">2026-01-19T15:01:36Z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